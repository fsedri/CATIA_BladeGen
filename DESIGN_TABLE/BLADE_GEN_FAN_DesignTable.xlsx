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A\knowledge\knowledgeResources\"/>
    </mc:Choice>
  </mc:AlternateContent>
  <xr:revisionPtr revIDLastSave="0" documentId="13_ncr:1_{A4297463-7A68-48FA-866B-ABE45E1ADF34}" xr6:coauthVersionLast="47" xr6:coauthVersionMax="47" xr10:uidLastSave="{00000000-0000-0000-0000-000000000000}"/>
  <bookViews>
    <workbookView xWindow="28680" yWindow="-120" windowWidth="29040" windowHeight="17790" xr2:uid="{10A54FCF-F0FA-4476-8371-D9DF87B9E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2" l="1"/>
  <c r="D15" i="2"/>
  <c r="E15" i="2"/>
  <c r="F15" i="2"/>
  <c r="F18" i="2" s="1"/>
  <c r="G15" i="2"/>
  <c r="G18" i="2" s="1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B15" i="2"/>
  <c r="D10" i="2"/>
  <c r="F10" i="2"/>
  <c r="G10" i="2"/>
  <c r="I10" i="2"/>
  <c r="K10" i="2"/>
  <c r="L10" i="2"/>
  <c r="M10" i="2"/>
  <c r="O10" i="2"/>
  <c r="P10" i="2"/>
  <c r="Q10" i="2"/>
  <c r="R10" i="2"/>
  <c r="S10" i="2"/>
  <c r="T10" i="2"/>
  <c r="U10" i="2"/>
  <c r="V10" i="2"/>
  <c r="W10" i="2"/>
  <c r="X10" i="2"/>
  <c r="J6" i="2"/>
  <c r="J10" i="2" s="1"/>
  <c r="K6" i="2"/>
  <c r="L6" i="2"/>
  <c r="M6" i="2"/>
  <c r="N6" i="2"/>
  <c r="N10" i="2" s="1"/>
  <c r="O6" i="2"/>
  <c r="P6" i="2"/>
  <c r="Q6" i="2"/>
  <c r="R6" i="2"/>
  <c r="S6" i="2"/>
  <c r="T6" i="2"/>
  <c r="U6" i="2"/>
  <c r="V6" i="2"/>
  <c r="W6" i="2"/>
  <c r="X6" i="2"/>
  <c r="B6" i="2"/>
  <c r="B10" i="2" s="1"/>
  <c r="C6" i="2"/>
  <c r="C10" i="2" s="1"/>
  <c r="D6" i="2"/>
  <c r="E6" i="2"/>
  <c r="E10" i="2" s="1"/>
  <c r="F6" i="2"/>
  <c r="G6" i="2"/>
  <c r="H6" i="2"/>
  <c r="H10" i="2" s="1"/>
  <c r="I6" i="2"/>
  <c r="H18" i="2" l="1"/>
  <c r="N18" i="2"/>
  <c r="C18" i="2"/>
  <c r="B18" i="2"/>
  <c r="I18" i="2"/>
  <c r="J18" i="2"/>
  <c r="K18" i="2"/>
  <c r="L18" i="2"/>
  <c r="M18" i="2"/>
  <c r="W18" i="2"/>
  <c r="X18" i="2"/>
  <c r="O18" i="2"/>
  <c r="P18" i="2"/>
  <c r="Q18" i="2"/>
  <c r="R18" i="2"/>
  <c r="S18" i="2"/>
  <c r="T18" i="2"/>
  <c r="U18" i="2"/>
  <c r="V18" i="2"/>
  <c r="D18" i="2"/>
  <c r="E18" i="2"/>
</calcChain>
</file>

<file path=xl/sharedStrings.xml><?xml version="1.0" encoding="utf-8"?>
<sst xmlns="http://schemas.openxmlformats.org/spreadsheetml/2006/main" count="154" uniqueCount="105">
  <si>
    <t>Designer</t>
  </si>
  <si>
    <t>Version</t>
  </si>
  <si>
    <t>`____________________General____________________`</t>
  </si>
  <si>
    <t>CONFIG</t>
  </si>
  <si>
    <t>`____________________Cascade____________________`</t>
  </si>
  <si>
    <t>`____________________Airfoil____________________`</t>
  </si>
  <si>
    <t>`____________________Blade______________________`</t>
  </si>
  <si>
    <t>`____________________Blade_Fillet_______________`</t>
  </si>
  <si>
    <t>`____________________Dent_______________________`</t>
  </si>
  <si>
    <t>`____________________Dent_Advanced______________`</t>
  </si>
  <si>
    <t>`____________________Extra______________________`</t>
  </si>
  <si>
    <t>Farhad Sedri</t>
  </si>
  <si>
    <t>COMPRESSOR</t>
  </si>
  <si>
    <t>CW</t>
  </si>
  <si>
    <t>YES</t>
  </si>
  <si>
    <t>NO</t>
  </si>
  <si>
    <t>STATOR</t>
  </si>
  <si>
    <t>AIRFOIL</t>
  </si>
  <si>
    <t>REAR</t>
  </si>
  <si>
    <t>FRONT</t>
  </si>
  <si>
    <t>REAL</t>
  </si>
  <si>
    <t>TOTAL</t>
  </si>
  <si>
    <t>ANGLE</t>
  </si>
  <si>
    <t>FINAL DIMENTION</t>
  </si>
  <si>
    <t>X0.99</t>
  </si>
  <si>
    <t>BLADE_TYPE</t>
  </si>
  <si>
    <t>STATOR_TYPE</t>
  </si>
  <si>
    <t>ROTATION</t>
  </si>
  <si>
    <t>TIP_SHROUD</t>
  </si>
  <si>
    <t>FILLET</t>
  </si>
  <si>
    <t>AIRFOIL_PROFILE_ROOT</t>
  </si>
  <si>
    <t>AIRFOIL_PROFILE_TIP</t>
  </si>
  <si>
    <t>DENT_PROFILE</t>
  </si>
  <si>
    <t>STATOR_TIP_CUT_PROFILE</t>
  </si>
  <si>
    <t>CHORD_LENGTH (mm)</t>
  </si>
  <si>
    <t>DENT_DEPTH_RATIO</t>
  </si>
  <si>
    <t>ROOT_DEPTH_RATIO</t>
  </si>
  <si>
    <t>TIP_SHROUD_THICKNESS_RATIO</t>
  </si>
  <si>
    <t>ANGLE_INVOLUTE (deg)</t>
  </si>
  <si>
    <t>ANGLE_ATTACK_TIP (deg)</t>
  </si>
  <si>
    <t>ANGLE_ATTACK_ROOT (deg)</t>
  </si>
  <si>
    <t>AUTO_CASCADE</t>
  </si>
  <si>
    <t>N_BLADE_MANUAL</t>
  </si>
  <si>
    <t>TIP_SCALE_RATIO</t>
  </si>
  <si>
    <t>`____________________Blade_Advanced_1___________`</t>
  </si>
  <si>
    <t>`____________________Blade_Advanced_2___________`</t>
  </si>
  <si>
    <t>BLADE_LE_TIP_CURVE_TENSION</t>
  </si>
  <si>
    <t>BLADE_LE_TIP_GUIDE_ANGLE (deg)</t>
  </si>
  <si>
    <t>BLADE_LE_TIP_STRAIGHT_RATIO</t>
  </si>
  <si>
    <t>BLADE_LE_ROOT_CURVE_TENSION</t>
  </si>
  <si>
    <t>BLADE_LE_ROOT_GUIDE_ANGLE (deg)</t>
  </si>
  <si>
    <t>BLADE_LE_ROOT_STRAIGHT_RATIO</t>
  </si>
  <si>
    <t>BLADE_TE_TIP_CURVE_TENSION</t>
  </si>
  <si>
    <t>BLADE_TE_TIP_GUIDE_ANGLE (deg)</t>
  </si>
  <si>
    <t>BLADE_TE_TIP_STRAIGHT_RATIO</t>
  </si>
  <si>
    <t>BLADE_TE_ROOT_CURVE_TENSION</t>
  </si>
  <si>
    <t>BLADE_TE_ROOT_GUIDE_ANGLE (deg)</t>
  </si>
  <si>
    <t>BLADE_TE_ROOT_STRAIGHT_RATIO</t>
  </si>
  <si>
    <t>BLADE_LE_BULGE_X_RATIO</t>
  </si>
  <si>
    <t>BLADE_LE_BULGE_Y_RATIO</t>
  </si>
  <si>
    <t>BLADE_LE_BULGE_Z_RATIO</t>
  </si>
  <si>
    <t>BLADE_TE_BULGE_X_RATIO</t>
  </si>
  <si>
    <t>BLADE_TE_BULGE_Y_RATIO</t>
  </si>
  <si>
    <t>BLADE_TE_BULGE_Z_RATIO</t>
  </si>
  <si>
    <t>FILLET_BASE_MAX_RATIO</t>
  </si>
  <si>
    <t>FILLET_ROOT_BASE_RATIO</t>
  </si>
  <si>
    <t>FILLET_ROOT_HEIGHT_RATIO</t>
  </si>
  <si>
    <t>FILLET_ROOT_TENSION</t>
  </si>
  <si>
    <t>FILLET_TIP_BASE_RATIO</t>
  </si>
  <si>
    <t>FILLET_TIP_HEIGHT_RATIO</t>
  </si>
  <si>
    <t>FILLET_TIP_TENSION</t>
  </si>
  <si>
    <t>DENT_STEM_THICKNESS_RATIO</t>
  </si>
  <si>
    <t>DENT_FILLET_RATIO</t>
  </si>
  <si>
    <t>DENT_FILLET_TENSION</t>
  </si>
  <si>
    <t>FIR_TRI_STEM_HEIGHT_RATIO</t>
  </si>
  <si>
    <t>FIR_TRI_TOP_1</t>
  </si>
  <si>
    <t>FIR_TRI_TOP_2</t>
  </si>
  <si>
    <t>FIR_TRI_BOTTOM_1</t>
  </si>
  <si>
    <t>FIR_TRI_BOTTOM_2</t>
  </si>
  <si>
    <t>VARIABLE_STATOR_AXIS_CAMBER_RATIO</t>
  </si>
  <si>
    <t>FAN-S1</t>
  </si>
  <si>
    <t>FAN-S2</t>
  </si>
  <si>
    <t>FAN-S3</t>
  </si>
  <si>
    <t>FAN-STATOR-S2</t>
  </si>
  <si>
    <t>FAN-STATOR-S3</t>
  </si>
  <si>
    <t>SUPPORT-STATOR-S1</t>
  </si>
  <si>
    <t>SUPPORT-STATOR-S2</t>
  </si>
  <si>
    <t>SUPPORT-STATOR-S3</t>
  </si>
  <si>
    <t>CCW</t>
  </si>
  <si>
    <t>TIP_AFFINITY_Y_RATIO</t>
  </si>
  <si>
    <t>ROOT_AFFINITY_Y_RATIO</t>
  </si>
  <si>
    <t>TIP_LE_RADIUS_RATIO</t>
  </si>
  <si>
    <t>TIP_TE_RADIUS_RATIO</t>
  </si>
  <si>
    <t>ROOT_LE_RADIUS_RATIO</t>
  </si>
  <si>
    <t>ROOT_TE_RADIUS_RATIO</t>
  </si>
  <si>
    <t>ROOT_Y_OFFSET_RATIO</t>
  </si>
  <si>
    <t>TIP_Y_OFFSET_RATIO</t>
  </si>
  <si>
    <t>TIP_X_OFFSET_RATIO</t>
  </si>
  <si>
    <t>ROOT_FRONT_OFFSET_RATIO</t>
  </si>
  <si>
    <t>ROOT_REAR_OFFSET_RATIO</t>
  </si>
  <si>
    <t>ROOT_SIDE_OFFSET_RATIO</t>
  </si>
  <si>
    <t>TIP_FRONT_OFFSET_RATIO</t>
  </si>
  <si>
    <t>TIP_REAR_OFFSET_RATIO</t>
  </si>
  <si>
    <t>TIP_SIDE_OFFSET_ANGLE (deg)</t>
  </si>
  <si>
    <t>DENT_CORNER_RADIUS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</si>
</sst>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6" fillId="4" borderId="0" applyNumberFormat="0" applyBorder="0" applyAlignment="0" applyProtection="0"/>
  </cellStyleXfs>
  <cellXfs count="13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1" fillId="2" borderId="1" xfId="1" applyNumberFormat="1"/>
    <xf numFmtId="0" fontId="1" fillId="2" borderId="1" xfId="1"/>
    <xf numFmtId="49" fontId="3" fillId="0" borderId="0" xfId="0" applyNumberFormat="1" applyFont="1"/>
    <xf numFmtId="0" fontId="3" fillId="0" borderId="0" xfId="0" applyFont="1"/>
    <xf numFmtId="49" fontId="5" fillId="3" borderId="0" xfId="2" applyNumberFormat="1" applyFont="1"/>
    <xf numFmtId="2" fontId="0" fillId="0" borderId="0" xfId="0" applyNumberFormat="1" applyAlignment="1">
      <alignment horizontal="center"/>
    </xf>
    <xf numFmtId="2" fontId="6" fillId="4" borderId="0" xfId="3" applyNumberFormat="1" applyAlignment="1">
      <alignment horizontal="center"/>
    </xf>
    <xf numFmtId="2" fontId="4" fillId="3" borderId="0" xfId="2" applyNumberFormat="1" applyAlignment="1">
      <alignment horizontal="center"/>
    </xf>
    <xf numFmtId="49" fontId="4" fillId="3" borderId="0" xfId="2" applyNumberFormat="1"/>
    <xf numFmtId="49" fontId="6" fillId="4" borderId="0" xfId="3" applyNumberFormat="1"/>
  </cellXfs>
  <cellStyles count="4">
    <cellStyle name="Bad" xfId="3" builtinId="27"/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D26-208C-4F9C-A943-6D885BB94A9F}">
  <dimension ref="A1:I85"/>
  <sheetViews>
    <sheetView tabSelected="1" zoomScale="70" zoomScaleNormal="70" workbookViewId="0">
      <selection activeCell="D27" sqref="D27"/>
    </sheetView>
  </sheetViews>
  <sheetFormatPr defaultRowHeight="15" x14ac:dyDescent="0.25"/>
  <cols>
    <col min="1" max="1" width="51.85546875" bestFit="1" customWidth="1"/>
    <col min="2" max="2" width="20.7109375" bestFit="1" customWidth="1"/>
    <col min="3" max="4" width="17.85546875" bestFit="1" customWidth="1"/>
    <col min="5" max="5" width="33.140625" customWidth="1"/>
    <col min="6" max="6" width="27.85546875" customWidth="1"/>
    <col min="7" max="24" width="17.85546875" bestFit="1" customWidth="1"/>
  </cols>
  <sheetData>
    <row r="1" spans="1:9" x14ac:dyDescent="0.25">
      <c r="A1" s="5" t="s">
        <v>0</v>
      </c>
      <c r="B1" s="7" t="s">
        <v>11</v>
      </c>
      <c r="C1" s="7" t="s">
        <v>11</v>
      </c>
      <c r="D1" s="7" t="s">
        <v>11</v>
      </c>
      <c r="E1" s="7" t="s">
        <v>11</v>
      </c>
      <c r="F1" s="7" t="s">
        <v>11</v>
      </c>
      <c r="G1" s="7" t="s">
        <v>11</v>
      </c>
      <c r="H1" s="7" t="s">
        <v>11</v>
      </c>
      <c r="I1" s="7" t="s">
        <v>11</v>
      </c>
    </row>
    <row r="2" spans="1:9" ht="15.75" thickBot="1" x14ac:dyDescent="0.3">
      <c r="A2" s="5" t="s">
        <v>1</v>
      </c>
      <c r="B2" s="6">
        <v>1.6</v>
      </c>
      <c r="C2" s="6">
        <v>1.6</v>
      </c>
      <c r="D2" s="6">
        <v>1.6</v>
      </c>
      <c r="E2" s="6">
        <v>1.6</v>
      </c>
      <c r="F2" s="6">
        <v>1.6</v>
      </c>
      <c r="G2" s="6">
        <v>1.6</v>
      </c>
      <c r="H2" s="6">
        <v>1.6</v>
      </c>
      <c r="I2" s="6">
        <v>1.6</v>
      </c>
    </row>
    <row r="3" spans="1:9" ht="16.5" thickTop="1" thickBo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</row>
    <row r="4" spans="1:9" ht="15.75" thickTop="1" x14ac:dyDescent="0.25">
      <c r="A4" s="1" t="s">
        <v>3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</row>
    <row r="5" spans="1:9" x14ac:dyDescent="0.25">
      <c r="A5" s="1" t="s">
        <v>25</v>
      </c>
      <c r="B5" s="11" t="s">
        <v>12</v>
      </c>
      <c r="C5" s="11" t="s">
        <v>12</v>
      </c>
      <c r="D5" s="11" t="s">
        <v>12</v>
      </c>
      <c r="E5" s="12" t="s">
        <v>16</v>
      </c>
      <c r="F5" s="12" t="s">
        <v>16</v>
      </c>
      <c r="G5" s="12" t="s">
        <v>16</v>
      </c>
      <c r="H5" s="12" t="s">
        <v>16</v>
      </c>
      <c r="I5" s="12" t="s">
        <v>16</v>
      </c>
    </row>
    <row r="6" spans="1:9" x14ac:dyDescent="0.25">
      <c r="A6" s="1" t="s">
        <v>26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</row>
    <row r="7" spans="1:9" x14ac:dyDescent="0.25">
      <c r="A7" s="1" t="s">
        <v>27</v>
      </c>
      <c r="B7" s="1" t="s">
        <v>13</v>
      </c>
      <c r="C7" s="1" t="s">
        <v>88</v>
      </c>
      <c r="D7" s="1" t="s">
        <v>88</v>
      </c>
      <c r="E7" s="1" t="s">
        <v>88</v>
      </c>
      <c r="F7" s="1" t="s">
        <v>88</v>
      </c>
      <c r="G7" s="1" t="s">
        <v>88</v>
      </c>
      <c r="H7" s="1" t="s">
        <v>88</v>
      </c>
      <c r="I7" s="1" t="s">
        <v>88</v>
      </c>
    </row>
    <row r="8" spans="1:9" x14ac:dyDescent="0.25">
      <c r="A8" s="1" t="s">
        <v>28</v>
      </c>
      <c r="B8" s="1" t="s">
        <v>15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</row>
    <row r="9" spans="1:9" x14ac:dyDescent="0.25">
      <c r="A9" s="1" t="s">
        <v>29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</row>
    <row r="10" spans="1:9" x14ac:dyDescent="0.25">
      <c r="A10" s="1" t="s">
        <v>30</v>
      </c>
      <c r="B10" s="2">
        <v>2</v>
      </c>
      <c r="C10" s="2">
        <v>2</v>
      </c>
      <c r="D10" s="2">
        <v>2</v>
      </c>
      <c r="E10" s="2">
        <v>2</v>
      </c>
      <c r="F10" s="2">
        <v>2</v>
      </c>
      <c r="G10" s="2">
        <v>3</v>
      </c>
      <c r="H10" s="2">
        <v>3</v>
      </c>
      <c r="I10" s="2">
        <v>3</v>
      </c>
    </row>
    <row r="11" spans="1:9" x14ac:dyDescent="0.25">
      <c r="A11" s="1" t="s">
        <v>31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3</v>
      </c>
      <c r="H11" s="2">
        <v>3</v>
      </c>
      <c r="I11" s="2">
        <v>3</v>
      </c>
    </row>
    <row r="12" spans="1:9" x14ac:dyDescent="0.25">
      <c r="A12" s="1" t="s">
        <v>32</v>
      </c>
      <c r="B12" s="2">
        <v>4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</row>
    <row r="13" spans="1:9" x14ac:dyDescent="0.25">
      <c r="A13" s="1" t="s">
        <v>33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1</v>
      </c>
    </row>
    <row r="14" spans="1:9" x14ac:dyDescent="0.25">
      <c r="A14" s="1" t="s">
        <v>34</v>
      </c>
      <c r="B14" s="2">
        <v>550</v>
      </c>
      <c r="C14" s="2">
        <v>550</v>
      </c>
      <c r="D14" s="2">
        <v>1100</v>
      </c>
      <c r="E14" s="2">
        <v>600</v>
      </c>
      <c r="F14" s="2">
        <v>600</v>
      </c>
      <c r="G14" s="2">
        <v>400</v>
      </c>
      <c r="H14" s="2">
        <v>350</v>
      </c>
      <c r="I14" s="2">
        <v>250</v>
      </c>
    </row>
    <row r="15" spans="1:9" x14ac:dyDescent="0.25">
      <c r="A15" s="1" t="s">
        <v>35</v>
      </c>
      <c r="B15" s="2">
        <v>0.2</v>
      </c>
      <c r="C15" s="2">
        <v>0.25</v>
      </c>
      <c r="D15" s="2">
        <v>0.2</v>
      </c>
      <c r="E15" s="2">
        <v>0.3</v>
      </c>
      <c r="F15" s="2">
        <v>0.3</v>
      </c>
      <c r="G15" s="2">
        <v>0.3</v>
      </c>
      <c r="H15" s="2">
        <v>0.3</v>
      </c>
      <c r="I15" s="2">
        <v>0.3</v>
      </c>
    </row>
    <row r="16" spans="1:9" x14ac:dyDescent="0.25">
      <c r="A16" s="1" t="s">
        <v>36</v>
      </c>
      <c r="B16" s="2">
        <v>0.05</v>
      </c>
      <c r="C16" s="2">
        <v>0.02</v>
      </c>
      <c r="D16" s="2">
        <v>0.05</v>
      </c>
      <c r="E16" s="2">
        <v>0.05</v>
      </c>
      <c r="F16" s="2">
        <v>0.05</v>
      </c>
      <c r="G16" s="2">
        <v>0.1</v>
      </c>
      <c r="H16" s="2">
        <v>0.05</v>
      </c>
      <c r="I16" s="2">
        <v>0.05</v>
      </c>
    </row>
    <row r="17" spans="1:9" x14ac:dyDescent="0.25">
      <c r="A17" s="1" t="s">
        <v>37</v>
      </c>
      <c r="B17" s="2">
        <v>0.1</v>
      </c>
      <c r="C17" s="2">
        <v>0.1</v>
      </c>
      <c r="D17" s="2">
        <v>0.1</v>
      </c>
      <c r="E17" s="2">
        <v>0.1</v>
      </c>
      <c r="F17" s="2">
        <v>0.1</v>
      </c>
      <c r="G17" s="2">
        <v>0.1</v>
      </c>
      <c r="H17" s="2">
        <v>0.1</v>
      </c>
      <c r="I17" s="2">
        <v>0.1</v>
      </c>
    </row>
    <row r="18" spans="1:9" x14ac:dyDescent="0.25">
      <c r="A18" s="1" t="s">
        <v>38</v>
      </c>
      <c r="B18" s="2">
        <v>0</v>
      </c>
      <c r="C18" s="2">
        <v>0</v>
      </c>
      <c r="D18" s="2">
        <v>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25">
      <c r="A19" s="1" t="s">
        <v>39</v>
      </c>
      <c r="B19" s="2">
        <v>50</v>
      </c>
      <c r="C19" s="2">
        <v>30</v>
      </c>
      <c r="D19" s="2">
        <v>30</v>
      </c>
      <c r="E19" s="2">
        <v>20</v>
      </c>
      <c r="F19" s="2">
        <v>20</v>
      </c>
      <c r="G19" s="2">
        <v>0</v>
      </c>
      <c r="H19" s="2">
        <v>0</v>
      </c>
      <c r="I19" s="2">
        <v>0</v>
      </c>
    </row>
    <row r="20" spans="1:9" ht="15.75" thickBot="1" x14ac:dyDescent="0.3">
      <c r="A20" s="1" t="s">
        <v>40</v>
      </c>
      <c r="B20" s="2">
        <v>0</v>
      </c>
      <c r="C20" s="2">
        <v>0</v>
      </c>
      <c r="D20" s="2">
        <v>25</v>
      </c>
      <c r="E20" s="2">
        <v>20</v>
      </c>
      <c r="F20" s="2">
        <v>20</v>
      </c>
      <c r="G20" s="2">
        <v>0</v>
      </c>
      <c r="H20" s="2">
        <v>0</v>
      </c>
      <c r="I20" s="2">
        <v>0</v>
      </c>
    </row>
    <row r="21" spans="1:9" ht="16.5" thickTop="1" thickBot="1" x14ac:dyDescent="0.3">
      <c r="A21" s="3" t="s">
        <v>4</v>
      </c>
      <c r="B21" s="4"/>
      <c r="C21" s="4"/>
      <c r="D21" s="4"/>
      <c r="E21" s="4"/>
      <c r="F21" s="4"/>
      <c r="G21" s="4"/>
      <c r="H21" s="4"/>
      <c r="I21" s="4"/>
    </row>
    <row r="22" spans="1:9" ht="15.75" thickTop="1" x14ac:dyDescent="0.25">
      <c r="A22" s="1" t="s">
        <v>41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</row>
    <row r="23" spans="1:9" ht="15.75" thickBot="1" x14ac:dyDescent="0.3">
      <c r="A23" s="1" t="s">
        <v>42</v>
      </c>
      <c r="B23" s="2">
        <v>16</v>
      </c>
      <c r="C23" s="2">
        <v>16</v>
      </c>
      <c r="D23" s="2">
        <v>16</v>
      </c>
      <c r="E23" s="2">
        <v>16</v>
      </c>
      <c r="F23" s="2">
        <v>16</v>
      </c>
      <c r="G23" s="2">
        <v>16</v>
      </c>
      <c r="H23" s="2">
        <v>16</v>
      </c>
      <c r="I23" s="2">
        <v>16</v>
      </c>
    </row>
    <row r="24" spans="1:9" ht="16.5" thickTop="1" thickBot="1" x14ac:dyDescent="0.3">
      <c r="A24" s="3" t="s">
        <v>5</v>
      </c>
      <c r="B24" s="4"/>
      <c r="C24" s="4"/>
      <c r="D24" s="4"/>
      <c r="E24" s="4"/>
      <c r="F24" s="4"/>
      <c r="G24" s="4"/>
      <c r="H24" s="4"/>
      <c r="I24" s="4"/>
    </row>
    <row r="25" spans="1:9" ht="15.75" thickTop="1" x14ac:dyDescent="0.25">
      <c r="A25" s="1" t="s">
        <v>43</v>
      </c>
      <c r="B25" s="2">
        <v>0.85</v>
      </c>
      <c r="C25" s="2">
        <v>1.1499999999999999</v>
      </c>
      <c r="D25" s="2">
        <v>0.5</v>
      </c>
      <c r="E25" s="2">
        <v>1</v>
      </c>
      <c r="F25" s="2">
        <v>1</v>
      </c>
      <c r="G25" s="2">
        <v>0.8</v>
      </c>
      <c r="H25" s="2">
        <v>1</v>
      </c>
      <c r="I25" s="2">
        <v>1.2</v>
      </c>
    </row>
    <row r="26" spans="1:9" x14ac:dyDescent="0.25">
      <c r="A26" s="1" t="s">
        <v>89</v>
      </c>
      <c r="B26" s="2">
        <v>0.5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1.5</v>
      </c>
    </row>
    <row r="27" spans="1:9" x14ac:dyDescent="0.25">
      <c r="A27" s="1" t="s">
        <v>90</v>
      </c>
      <c r="B27" s="2">
        <v>1</v>
      </c>
      <c r="C27" s="2">
        <v>2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1.5</v>
      </c>
    </row>
    <row r="28" spans="1:9" x14ac:dyDescent="0.25">
      <c r="A28" s="1" t="s">
        <v>91</v>
      </c>
      <c r="B28" s="2">
        <v>5.0000000000000001E-3</v>
      </c>
      <c r="C28" s="2">
        <v>5.0000000000000001E-3</v>
      </c>
      <c r="D28" s="2">
        <v>5.0000000000000001E-3</v>
      </c>
      <c r="E28" s="2">
        <v>0.01</v>
      </c>
      <c r="F28" s="2">
        <v>0.01</v>
      </c>
      <c r="G28" s="2">
        <v>0.01</v>
      </c>
      <c r="H28" s="2">
        <v>5.0000000000000001E-3</v>
      </c>
      <c r="I28" s="2">
        <v>0.01</v>
      </c>
    </row>
    <row r="29" spans="1:9" x14ac:dyDescent="0.25">
      <c r="A29" s="1" t="s">
        <v>92</v>
      </c>
      <c r="B29" s="2">
        <v>5.0000000000000001E-3</v>
      </c>
      <c r="C29" s="2">
        <v>5.0000000000000001E-3</v>
      </c>
      <c r="D29" s="2">
        <v>5.0000000000000001E-3</v>
      </c>
      <c r="E29" s="2">
        <v>5.0000000000000001E-3</v>
      </c>
      <c r="F29" s="2">
        <v>5.0000000000000001E-3</v>
      </c>
      <c r="G29" s="2">
        <v>5.0000000000000001E-3</v>
      </c>
      <c r="H29" s="2">
        <v>5.0000000000000001E-3</v>
      </c>
      <c r="I29" s="2">
        <v>5.0000000000000001E-3</v>
      </c>
    </row>
    <row r="30" spans="1:9" x14ac:dyDescent="0.25">
      <c r="A30" s="1" t="s">
        <v>93</v>
      </c>
      <c r="B30" s="2">
        <v>5.0000000000000001E-3</v>
      </c>
      <c r="C30" s="2">
        <v>5.0000000000000001E-3</v>
      </c>
      <c r="D30" s="2">
        <v>5.0000000000000001E-3</v>
      </c>
      <c r="E30" s="2">
        <v>0.01</v>
      </c>
      <c r="F30" s="2">
        <v>0.01</v>
      </c>
      <c r="G30" s="2">
        <v>0.01</v>
      </c>
      <c r="H30" s="2">
        <v>5.0000000000000001E-3</v>
      </c>
      <c r="I30" s="2">
        <v>0.01</v>
      </c>
    </row>
    <row r="31" spans="1:9" ht="15.75" thickBot="1" x14ac:dyDescent="0.3">
      <c r="A31" s="1" t="s">
        <v>94</v>
      </c>
      <c r="B31" s="2">
        <v>5.0000000000000001E-3</v>
      </c>
      <c r="C31" s="2">
        <v>5.0000000000000001E-3</v>
      </c>
      <c r="D31" s="2">
        <v>5.0000000000000001E-3</v>
      </c>
      <c r="E31" s="2">
        <v>5.0000000000000001E-3</v>
      </c>
      <c r="F31" s="2">
        <v>5.0000000000000001E-3</v>
      </c>
      <c r="G31" s="2">
        <v>5.0000000000000001E-3</v>
      </c>
      <c r="H31" s="2">
        <v>5.0000000000000001E-3</v>
      </c>
      <c r="I31" s="2">
        <v>5.0000000000000001E-3</v>
      </c>
    </row>
    <row r="32" spans="1:9" ht="16.5" thickTop="1" thickBot="1" x14ac:dyDescent="0.3">
      <c r="A32" s="3" t="s">
        <v>6</v>
      </c>
      <c r="B32" s="4"/>
      <c r="C32" s="4"/>
      <c r="D32" s="4"/>
      <c r="E32" s="4"/>
      <c r="F32" s="4"/>
      <c r="G32" s="4"/>
      <c r="H32" s="4"/>
      <c r="I32" s="4"/>
    </row>
    <row r="33" spans="1:9" ht="15.75" thickTop="1" x14ac:dyDescent="0.25">
      <c r="A33" s="1" t="s">
        <v>98</v>
      </c>
      <c r="B33" s="2">
        <v>0.05</v>
      </c>
      <c r="C33" s="2">
        <v>0.05</v>
      </c>
      <c r="D33" s="2">
        <v>0.05</v>
      </c>
      <c r="E33" s="2">
        <v>0.05</v>
      </c>
      <c r="F33" s="2">
        <v>0.05</v>
      </c>
      <c r="G33" s="2">
        <v>0.05</v>
      </c>
      <c r="H33" s="2">
        <v>0.05</v>
      </c>
      <c r="I33" s="2">
        <v>0.05</v>
      </c>
    </row>
    <row r="34" spans="1:9" x14ac:dyDescent="0.25">
      <c r="A34" s="1" t="s">
        <v>99</v>
      </c>
      <c r="B34" s="2">
        <v>0.05</v>
      </c>
      <c r="C34" s="2">
        <v>0.05</v>
      </c>
      <c r="D34" s="2">
        <v>0.05</v>
      </c>
      <c r="E34" s="2">
        <v>0.05</v>
      </c>
      <c r="F34" s="2">
        <v>0.05</v>
      </c>
      <c r="G34" s="2">
        <v>0.05</v>
      </c>
      <c r="H34" s="2">
        <v>0.05</v>
      </c>
      <c r="I34" s="2">
        <v>0.05</v>
      </c>
    </row>
    <row r="35" spans="1:9" x14ac:dyDescent="0.25">
      <c r="A35" s="1" t="s">
        <v>100</v>
      </c>
      <c r="B35" s="2">
        <v>0.05</v>
      </c>
      <c r="C35" s="2">
        <v>0.05</v>
      </c>
      <c r="D35" s="2">
        <v>0.05</v>
      </c>
      <c r="E35" s="2">
        <v>0.05</v>
      </c>
      <c r="F35" s="2">
        <v>0.05</v>
      </c>
      <c r="G35" s="2">
        <v>0.05</v>
      </c>
      <c r="H35" s="2">
        <v>0.05</v>
      </c>
      <c r="I35" s="2">
        <v>0.05</v>
      </c>
    </row>
    <row r="36" spans="1:9" x14ac:dyDescent="0.25">
      <c r="A36" s="1" t="s">
        <v>101</v>
      </c>
      <c r="B36" s="2">
        <v>0.05</v>
      </c>
      <c r="C36" s="2">
        <v>0.05</v>
      </c>
      <c r="D36" s="2">
        <v>0.05</v>
      </c>
      <c r="E36" s="2">
        <v>0.05</v>
      </c>
      <c r="F36" s="2">
        <v>0.05</v>
      </c>
      <c r="G36" s="2">
        <v>0.05</v>
      </c>
      <c r="H36" s="2">
        <v>0.05</v>
      </c>
      <c r="I36" s="2">
        <v>0.05</v>
      </c>
    </row>
    <row r="37" spans="1:9" x14ac:dyDescent="0.25">
      <c r="A37" s="1" t="s">
        <v>102</v>
      </c>
      <c r="B37" s="2">
        <v>0.05</v>
      </c>
      <c r="C37" s="2">
        <v>0.05</v>
      </c>
      <c r="D37" s="2">
        <v>0.05</v>
      </c>
      <c r="E37" s="2">
        <v>0.05</v>
      </c>
      <c r="F37" s="2">
        <v>0.05</v>
      </c>
      <c r="G37" s="2">
        <v>0.05</v>
      </c>
      <c r="H37" s="2">
        <v>0.05</v>
      </c>
      <c r="I37" s="2">
        <v>0.05</v>
      </c>
    </row>
    <row r="38" spans="1:9" x14ac:dyDescent="0.25">
      <c r="A38" s="1" t="s">
        <v>103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5">
      <c r="A39" s="1" t="s">
        <v>95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5">
      <c r="A40" s="1" t="s">
        <v>96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ht="15.75" thickBot="1" x14ac:dyDescent="0.3">
      <c r="A41" s="1" t="s">
        <v>97</v>
      </c>
      <c r="B41" s="2">
        <v>0.45</v>
      </c>
      <c r="C41" s="2">
        <v>0.05</v>
      </c>
      <c r="D41" s="2">
        <v>0.5</v>
      </c>
      <c r="E41" s="2">
        <v>0.05</v>
      </c>
      <c r="F41" s="2">
        <v>0.05</v>
      </c>
      <c r="G41" s="2">
        <v>-0.1</v>
      </c>
      <c r="H41" s="2">
        <v>0.05</v>
      </c>
      <c r="I41" s="2">
        <v>0.05</v>
      </c>
    </row>
    <row r="42" spans="1:9" ht="16.5" thickTop="1" thickBot="1" x14ac:dyDescent="0.3">
      <c r="A42" s="3" t="s">
        <v>44</v>
      </c>
      <c r="B42" s="4"/>
      <c r="C42" s="4"/>
      <c r="D42" s="4"/>
      <c r="E42" s="4"/>
      <c r="F42" s="4"/>
      <c r="G42" s="4"/>
      <c r="H42" s="4"/>
      <c r="I42" s="4"/>
    </row>
    <row r="43" spans="1:9" ht="15.75" thickTop="1" x14ac:dyDescent="0.25">
      <c r="A43" s="1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25">
      <c r="A44" s="1" t="s">
        <v>47</v>
      </c>
      <c r="B44" s="2">
        <v>30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1" t="s">
        <v>48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1" t="s">
        <v>49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5">
      <c r="A47" s="1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5">
      <c r="A48" s="1" t="s">
        <v>51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1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1" t="s">
        <v>54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5">
      <c r="A53" s="1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 ht="15.75" thickBot="1" x14ac:dyDescent="0.3">
      <c r="A54" s="1" t="s">
        <v>57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 ht="16.5" thickTop="1" thickBot="1" x14ac:dyDescent="0.3">
      <c r="A55" s="3" t="s">
        <v>45</v>
      </c>
      <c r="B55" s="4"/>
      <c r="C55" s="4"/>
      <c r="D55" s="4"/>
      <c r="E55" s="4"/>
      <c r="F55" s="4"/>
      <c r="G55" s="4"/>
      <c r="H55" s="4"/>
      <c r="I55" s="4"/>
    </row>
    <row r="56" spans="1:9" ht="15.75" thickTop="1" x14ac:dyDescent="0.25">
      <c r="A56" s="1" t="s">
        <v>58</v>
      </c>
      <c r="B56" s="2">
        <v>0.2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</row>
    <row r="57" spans="1:9" x14ac:dyDescent="0.25">
      <c r="A57" s="1" t="s">
        <v>59</v>
      </c>
      <c r="B57" s="2">
        <v>0.1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x14ac:dyDescent="0.25">
      <c r="A58" s="1" t="s">
        <v>60</v>
      </c>
      <c r="B58" s="2">
        <v>0.5</v>
      </c>
      <c r="C58" s="2">
        <v>0.5</v>
      </c>
      <c r="D58" s="2">
        <v>0.5</v>
      </c>
      <c r="E58" s="2">
        <v>0.5</v>
      </c>
      <c r="F58" s="2">
        <v>0.5</v>
      </c>
      <c r="G58" s="2">
        <v>0.5</v>
      </c>
      <c r="H58" s="2">
        <v>0.5</v>
      </c>
      <c r="I58" s="2">
        <v>0.5</v>
      </c>
    </row>
    <row r="59" spans="1:9" x14ac:dyDescent="0.25">
      <c r="A59" s="1" t="s">
        <v>61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1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 spans="1:9" ht="15.75" thickBot="1" x14ac:dyDescent="0.3">
      <c r="A61" s="1" t="s">
        <v>63</v>
      </c>
      <c r="B61" s="2">
        <v>0.5</v>
      </c>
      <c r="C61" s="2">
        <v>0.5</v>
      </c>
      <c r="D61" s="2">
        <v>0.5</v>
      </c>
      <c r="E61" s="2">
        <v>0.5</v>
      </c>
      <c r="F61" s="2">
        <v>0.5</v>
      </c>
      <c r="G61" s="2">
        <v>0.5</v>
      </c>
      <c r="H61" s="2">
        <v>0.5</v>
      </c>
      <c r="I61" s="2">
        <v>0.5</v>
      </c>
    </row>
    <row r="62" spans="1:9" ht="16.5" thickTop="1" thickBot="1" x14ac:dyDescent="0.3">
      <c r="A62" s="3" t="s">
        <v>7</v>
      </c>
      <c r="B62" s="4"/>
      <c r="C62" s="4"/>
      <c r="D62" s="4"/>
      <c r="E62" s="4"/>
      <c r="F62" s="4"/>
      <c r="G62" s="4"/>
      <c r="H62" s="4"/>
      <c r="I62" s="4"/>
    </row>
    <row r="63" spans="1:9" ht="15.75" thickTop="1" x14ac:dyDescent="0.25">
      <c r="A63" s="1" t="s">
        <v>64</v>
      </c>
      <c r="B63" s="2">
        <v>0.05</v>
      </c>
      <c r="C63" s="2">
        <v>0.05</v>
      </c>
      <c r="D63" s="2">
        <v>0.05</v>
      </c>
      <c r="E63" s="2">
        <v>0.02</v>
      </c>
      <c r="F63" s="2">
        <v>0.02</v>
      </c>
      <c r="G63" s="2">
        <v>0.05</v>
      </c>
      <c r="H63" s="2">
        <v>0.05</v>
      </c>
      <c r="I63" s="2">
        <v>0.05</v>
      </c>
    </row>
    <row r="64" spans="1:9" x14ac:dyDescent="0.25">
      <c r="A64" s="1" t="s">
        <v>65</v>
      </c>
      <c r="B64" s="2">
        <v>0.5</v>
      </c>
      <c r="C64" s="2">
        <v>0.5</v>
      </c>
      <c r="D64" s="2">
        <v>0.5</v>
      </c>
      <c r="E64" s="2">
        <v>0.5</v>
      </c>
      <c r="F64" s="2">
        <v>0.5</v>
      </c>
      <c r="G64" s="2">
        <v>0.5</v>
      </c>
      <c r="H64" s="2">
        <v>0.5</v>
      </c>
      <c r="I64" s="2">
        <v>0.5</v>
      </c>
    </row>
    <row r="65" spans="1:9" x14ac:dyDescent="0.25">
      <c r="A65" s="1" t="s">
        <v>66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</row>
    <row r="66" spans="1:9" x14ac:dyDescent="0.25">
      <c r="A66" s="1" t="s">
        <v>67</v>
      </c>
      <c r="B66" s="2">
        <v>0.5</v>
      </c>
      <c r="C66" s="2">
        <v>0.5</v>
      </c>
      <c r="D66" s="2">
        <v>0.5</v>
      </c>
      <c r="E66" s="2">
        <v>0.5</v>
      </c>
      <c r="F66" s="2">
        <v>0.5</v>
      </c>
      <c r="G66" s="2">
        <v>0.5</v>
      </c>
      <c r="H66" s="2">
        <v>0.5</v>
      </c>
      <c r="I66" s="2">
        <v>0.5</v>
      </c>
    </row>
    <row r="67" spans="1:9" x14ac:dyDescent="0.25">
      <c r="A67" s="1" t="s">
        <v>68</v>
      </c>
      <c r="B67" s="2">
        <v>0.5</v>
      </c>
      <c r="C67" s="2">
        <v>0.5</v>
      </c>
      <c r="D67" s="2">
        <v>0.5</v>
      </c>
      <c r="E67" s="2">
        <v>0.5</v>
      </c>
      <c r="F67" s="2">
        <v>0.5</v>
      </c>
      <c r="G67" s="2">
        <v>0.5</v>
      </c>
      <c r="H67" s="2">
        <v>0.5</v>
      </c>
      <c r="I67" s="2">
        <v>0.5</v>
      </c>
    </row>
    <row r="68" spans="1:9" x14ac:dyDescent="0.25">
      <c r="A68" s="1" t="s">
        <v>69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</row>
    <row r="69" spans="1:9" ht="15.75" thickBot="1" x14ac:dyDescent="0.3">
      <c r="A69" s="1" t="s">
        <v>70</v>
      </c>
      <c r="B69" s="2">
        <v>0.5</v>
      </c>
      <c r="C69" s="2">
        <v>0.5</v>
      </c>
      <c r="D69" s="2">
        <v>0.5</v>
      </c>
      <c r="E69" s="2">
        <v>0.5</v>
      </c>
      <c r="F69" s="2">
        <v>0.5</v>
      </c>
      <c r="G69" s="2">
        <v>0.5</v>
      </c>
      <c r="H69" s="2">
        <v>0.5</v>
      </c>
      <c r="I69" s="2">
        <v>0.5</v>
      </c>
    </row>
    <row r="70" spans="1:9" ht="16.5" thickTop="1" thickBot="1" x14ac:dyDescent="0.3">
      <c r="A70" s="3" t="s">
        <v>8</v>
      </c>
      <c r="B70" s="4"/>
      <c r="C70" s="4"/>
      <c r="D70" s="4"/>
      <c r="E70" s="4"/>
      <c r="F70" s="4"/>
      <c r="G70" s="4"/>
      <c r="H70" s="4"/>
      <c r="I70" s="4"/>
    </row>
    <row r="71" spans="1:9" ht="15.75" thickTop="1" x14ac:dyDescent="0.25">
      <c r="A71" s="1" t="s">
        <v>71</v>
      </c>
      <c r="B71" s="2">
        <v>0.8</v>
      </c>
      <c r="C71" s="2">
        <v>0.8</v>
      </c>
      <c r="D71" s="2">
        <v>0.6</v>
      </c>
      <c r="E71" s="2">
        <v>0.6</v>
      </c>
      <c r="F71" s="2">
        <v>0.6</v>
      </c>
      <c r="G71" s="2">
        <v>0.6</v>
      </c>
      <c r="H71" s="2">
        <v>0.6</v>
      </c>
      <c r="I71" s="2">
        <v>0.6</v>
      </c>
    </row>
    <row r="72" spans="1:9" x14ac:dyDescent="0.25">
      <c r="A72" s="1" t="s">
        <v>72</v>
      </c>
      <c r="B72" s="2">
        <v>0.8</v>
      </c>
      <c r="C72" s="2">
        <v>0.8</v>
      </c>
      <c r="D72" s="2">
        <v>0.8</v>
      </c>
      <c r="E72" s="2">
        <v>0.8</v>
      </c>
      <c r="F72" s="2">
        <v>0.8</v>
      </c>
      <c r="G72" s="2">
        <v>0.8</v>
      </c>
      <c r="H72" s="2">
        <v>0.8</v>
      </c>
      <c r="I72" s="2">
        <v>0.8</v>
      </c>
    </row>
    <row r="73" spans="1:9" x14ac:dyDescent="0.25">
      <c r="A73" s="1" t="s">
        <v>73</v>
      </c>
      <c r="B73" s="2">
        <v>0.3</v>
      </c>
      <c r="C73" s="2">
        <v>0.3</v>
      </c>
      <c r="D73" s="2">
        <v>0.3</v>
      </c>
      <c r="E73" s="2">
        <v>0.3</v>
      </c>
      <c r="F73" s="2">
        <v>0.3</v>
      </c>
      <c r="G73" s="2">
        <v>0.3</v>
      </c>
      <c r="H73" s="2">
        <v>0.3</v>
      </c>
      <c r="I73" s="2">
        <v>0.3</v>
      </c>
    </row>
    <row r="74" spans="1:9" ht="15.75" thickBot="1" x14ac:dyDescent="0.3">
      <c r="A74" s="1" t="s">
        <v>104</v>
      </c>
      <c r="B74" s="2">
        <v>5</v>
      </c>
      <c r="C74" s="2">
        <v>5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</row>
    <row r="75" spans="1:9" ht="16.5" thickTop="1" thickBot="1" x14ac:dyDescent="0.3">
      <c r="A75" s="3" t="s">
        <v>9</v>
      </c>
      <c r="B75" s="4"/>
      <c r="C75" s="4"/>
      <c r="D75" s="4"/>
      <c r="E75" s="4"/>
      <c r="F75" s="4"/>
      <c r="G75" s="4"/>
      <c r="H75" s="4"/>
      <c r="I75" s="4"/>
    </row>
    <row r="76" spans="1:9" ht="15.75" thickTop="1" x14ac:dyDescent="0.25">
      <c r="A76" s="1" t="s">
        <v>74</v>
      </c>
      <c r="B76" s="2">
        <v>0.4</v>
      </c>
      <c r="C76" s="2">
        <v>0.4</v>
      </c>
      <c r="D76" s="2">
        <v>0.4</v>
      </c>
      <c r="E76" s="2">
        <v>0.4</v>
      </c>
      <c r="F76" s="2">
        <v>0.4</v>
      </c>
      <c r="G76" s="2">
        <v>0.4</v>
      </c>
      <c r="H76" s="2">
        <v>0.4</v>
      </c>
      <c r="I76" s="2">
        <v>0.4</v>
      </c>
    </row>
    <row r="77" spans="1:9" x14ac:dyDescent="0.25">
      <c r="A77" s="1" t="s">
        <v>75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</row>
    <row r="78" spans="1:9" x14ac:dyDescent="0.25">
      <c r="A78" s="1" t="s">
        <v>76</v>
      </c>
      <c r="B78" s="2">
        <v>0.8</v>
      </c>
      <c r="C78" s="2">
        <v>0.8</v>
      </c>
      <c r="D78" s="2">
        <v>0.6</v>
      </c>
      <c r="E78" s="2">
        <v>0.6</v>
      </c>
      <c r="F78" s="2">
        <v>0.6</v>
      </c>
      <c r="G78" s="2">
        <v>0.6</v>
      </c>
      <c r="H78" s="2">
        <v>0.6</v>
      </c>
      <c r="I78" s="2">
        <v>0.6</v>
      </c>
    </row>
    <row r="79" spans="1:9" x14ac:dyDescent="0.25">
      <c r="A79" s="1" t="s">
        <v>77</v>
      </c>
      <c r="B79" s="2">
        <v>0.4</v>
      </c>
      <c r="C79" s="2">
        <v>0.4</v>
      </c>
      <c r="D79" s="2">
        <v>0.4</v>
      </c>
      <c r="E79" s="2">
        <v>0.4</v>
      </c>
      <c r="F79" s="2">
        <v>0.4</v>
      </c>
      <c r="G79" s="2">
        <v>0.4</v>
      </c>
      <c r="H79" s="2">
        <v>0.4</v>
      </c>
      <c r="I79" s="2">
        <v>0.4</v>
      </c>
    </row>
    <row r="80" spans="1:9" ht="15.75" thickBot="1" x14ac:dyDescent="0.3">
      <c r="A80" s="1" t="s">
        <v>78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  <c r="G80" s="2">
        <v>0.1</v>
      </c>
      <c r="H80" s="2">
        <v>0.1</v>
      </c>
      <c r="I80" s="2">
        <v>0.1</v>
      </c>
    </row>
    <row r="81" spans="1:9" ht="16.5" thickTop="1" thickBot="1" x14ac:dyDescent="0.3">
      <c r="A81" s="3" t="s">
        <v>10</v>
      </c>
      <c r="B81" s="4"/>
      <c r="C81" s="4"/>
      <c r="D81" s="4"/>
      <c r="E81" s="4"/>
      <c r="F81" s="4"/>
      <c r="G81" s="4"/>
      <c r="H81" s="4"/>
      <c r="I81" s="4"/>
    </row>
    <row r="82" spans="1:9" ht="15.75" thickTop="1" x14ac:dyDescent="0.25">
      <c r="A82" s="1" t="s">
        <v>79</v>
      </c>
      <c r="B82" s="2">
        <v>0.4</v>
      </c>
      <c r="C82" s="2">
        <v>0.4</v>
      </c>
      <c r="D82" s="2">
        <v>0.4</v>
      </c>
      <c r="E82" s="2">
        <v>0.4</v>
      </c>
      <c r="F82" s="2">
        <v>0.4</v>
      </c>
      <c r="G82" s="2">
        <v>0.4</v>
      </c>
      <c r="H82" s="2">
        <v>0.4</v>
      </c>
      <c r="I82" s="2">
        <v>0.4</v>
      </c>
    </row>
    <row r="85" spans="1:9" x14ac:dyDescent="0.25">
      <c r="A85" s="2"/>
    </row>
  </sheetData>
  <sheetProtection formatCells="0" formatColumns="0" formatRows="0" insertColumns="0" insertRows="0" insertHyperlinks="0" deleteColumns="0" deleteRows="0" sort="0" autoFilter="0" pivotTables="0"/>
  <protectedRanges>
    <protectedRange sqref="J81:X81 J75:X75 J62:X62 J55:X55 J42:X42 J24:X24 J21:X21 J32:X32 J70:X70 J83:X83 J1:X3 A1:A83" name="Range1"/>
    <protectedRange sqref="B81:I81 B75:I75 B70:I70 B62:I62 B55:I55 B42:I42 B32:I32 B24:I24 B21:I21 B1:I3" name="Range1_2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059-F076-4BAC-9E10-2BF9C1523510}">
  <dimension ref="A3:AC38"/>
  <sheetViews>
    <sheetView zoomScale="70" zoomScaleNormal="70" workbookViewId="0">
      <selection activeCell="B38" sqref="B38:X38"/>
    </sheetView>
  </sheetViews>
  <sheetFormatPr defaultRowHeight="15" x14ac:dyDescent="0.25"/>
  <cols>
    <col min="1" max="1" width="17.28515625" bestFit="1" customWidth="1"/>
    <col min="2" max="5" width="11.7109375" bestFit="1" customWidth="1"/>
    <col min="6" max="6" width="10.7109375" bestFit="1" customWidth="1"/>
    <col min="7" max="12" width="12.5703125" bestFit="1" customWidth="1"/>
    <col min="13" max="16" width="17.42578125" bestFit="1" customWidth="1"/>
    <col min="17" max="17" width="16.42578125" bestFit="1" customWidth="1"/>
    <col min="18" max="24" width="17.42578125" bestFit="1" customWidth="1"/>
  </cols>
  <sheetData>
    <row r="3" spans="1:29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</row>
    <row r="4" spans="1:29" x14ac:dyDescent="0.25">
      <c r="A4" t="s">
        <v>22</v>
      </c>
      <c r="B4" s="8">
        <v>0</v>
      </c>
      <c r="C4" s="8">
        <v>30</v>
      </c>
      <c r="D4" s="8">
        <v>0</v>
      </c>
      <c r="E4" s="8">
        <v>30</v>
      </c>
      <c r="F4" s="8">
        <v>0</v>
      </c>
      <c r="G4" s="8">
        <v>30</v>
      </c>
      <c r="H4" s="8">
        <v>0</v>
      </c>
      <c r="I4" s="8">
        <v>30</v>
      </c>
      <c r="J4" s="8">
        <v>0</v>
      </c>
      <c r="K4" s="8">
        <v>30</v>
      </c>
      <c r="L4" s="8">
        <v>30</v>
      </c>
      <c r="M4" s="8">
        <v>30</v>
      </c>
      <c r="N4" s="8">
        <v>30</v>
      </c>
      <c r="O4" s="8">
        <v>30</v>
      </c>
      <c r="P4" s="8">
        <v>30</v>
      </c>
      <c r="Q4" s="8">
        <v>30</v>
      </c>
      <c r="R4" s="8">
        <v>30</v>
      </c>
      <c r="S4" s="8">
        <v>30</v>
      </c>
      <c r="T4" s="8">
        <v>30</v>
      </c>
      <c r="U4" s="8">
        <v>30</v>
      </c>
      <c r="V4" s="8">
        <v>30</v>
      </c>
      <c r="W4" s="8">
        <v>30</v>
      </c>
      <c r="X4" s="8">
        <v>30</v>
      </c>
      <c r="Y4" s="8"/>
      <c r="Z4" s="8"/>
      <c r="AA4" s="8"/>
      <c r="AB4" s="8"/>
      <c r="AC4" s="8"/>
    </row>
    <row r="5" spans="1:29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5">
      <c r="A6" t="s">
        <v>17</v>
      </c>
      <c r="B6" s="8">
        <f t="shared" ref="B6:H6" si="0">COS(B4*3.14159/180)</f>
        <v>1</v>
      </c>
      <c r="C6" s="8">
        <f t="shared" si="0"/>
        <v>0.86602562491683677</v>
      </c>
      <c r="D6" s="8">
        <f t="shared" si="0"/>
        <v>1</v>
      </c>
      <c r="E6" s="8">
        <f t="shared" si="0"/>
        <v>0.86602562491683677</v>
      </c>
      <c r="F6" s="8">
        <f t="shared" si="0"/>
        <v>1</v>
      </c>
      <c r="G6" s="8">
        <f t="shared" si="0"/>
        <v>0.86602562491683677</v>
      </c>
      <c r="H6" s="8">
        <f t="shared" si="0"/>
        <v>1</v>
      </c>
      <c r="I6" s="8">
        <f>COS(I4*3.14159/180)</f>
        <v>0.86602562491683677</v>
      </c>
      <c r="J6" s="8">
        <f t="shared" ref="J6" si="1">COS(J4*3.14159/180)</f>
        <v>1</v>
      </c>
      <c r="K6" s="8">
        <f t="shared" ref="K6" si="2">COS(K4*3.14159/180)</f>
        <v>0.86602562491683677</v>
      </c>
      <c r="L6" s="8">
        <f t="shared" ref="L6" si="3">COS(L4*3.14159/180)</f>
        <v>0.86602562491683677</v>
      </c>
      <c r="M6" s="8">
        <f t="shared" ref="M6" si="4">COS(M4*3.14159/180)</f>
        <v>0.86602562491683677</v>
      </c>
      <c r="N6" s="8">
        <f t="shared" ref="N6" si="5">COS(N4*3.14159/180)</f>
        <v>0.86602562491683677</v>
      </c>
      <c r="O6" s="8">
        <f t="shared" ref="O6" si="6">COS(O4*3.14159/180)</f>
        <v>0.86602562491683677</v>
      </c>
      <c r="P6" s="8">
        <f t="shared" ref="P6:Q6" si="7">COS(P4*3.14159/180)</f>
        <v>0.86602562491683677</v>
      </c>
      <c r="Q6" s="8">
        <f t="shared" si="7"/>
        <v>0.86602562491683677</v>
      </c>
      <c r="R6" s="8">
        <f t="shared" ref="R6" si="8">COS(R4*3.14159/180)</f>
        <v>0.86602562491683677</v>
      </c>
      <c r="S6" s="8">
        <f t="shared" ref="S6" si="9">COS(S4*3.14159/180)</f>
        <v>0.86602562491683677</v>
      </c>
      <c r="T6" s="8">
        <f t="shared" ref="T6" si="10">COS(T4*3.14159/180)</f>
        <v>0.86602562491683677</v>
      </c>
      <c r="U6" s="8">
        <f t="shared" ref="U6" si="11">COS(U4*3.14159/180)</f>
        <v>0.86602562491683677</v>
      </c>
      <c r="V6" s="8">
        <f t="shared" ref="V6" si="12">COS(V4*3.14159/180)</f>
        <v>0.86602562491683677</v>
      </c>
      <c r="W6" s="8">
        <f t="shared" ref="W6" si="13">COS(W4*3.14159/180)</f>
        <v>0.86602562491683677</v>
      </c>
      <c r="X6" s="8">
        <f t="shared" ref="X6" si="14">COS(X4*3.14159/180)</f>
        <v>0.86602562491683677</v>
      </c>
      <c r="Y6" s="8"/>
      <c r="Z6" s="8"/>
      <c r="AA6" s="8"/>
      <c r="AB6" s="8"/>
      <c r="AC6" s="8"/>
    </row>
    <row r="7" spans="1:29" x14ac:dyDescent="0.25">
      <c r="A7" t="s">
        <v>19</v>
      </c>
      <c r="B7" s="8">
        <v>0.05</v>
      </c>
      <c r="C7" s="8">
        <v>0.05</v>
      </c>
      <c r="D7" s="8">
        <v>0.05</v>
      </c>
      <c r="E7" s="8">
        <v>0.05</v>
      </c>
      <c r="F7" s="8">
        <v>0.05</v>
      </c>
      <c r="G7" s="8">
        <v>0.05</v>
      </c>
      <c r="H7" s="8">
        <v>0.05</v>
      </c>
      <c r="I7" s="8">
        <v>0.05</v>
      </c>
      <c r="J7" s="8">
        <v>0.05</v>
      </c>
      <c r="K7" s="8">
        <v>0.05</v>
      </c>
      <c r="L7" s="8">
        <v>0.05</v>
      </c>
      <c r="M7" s="8">
        <v>0.05</v>
      </c>
      <c r="N7" s="8">
        <v>0.05</v>
      </c>
      <c r="O7" s="8">
        <v>0.05</v>
      </c>
      <c r="P7" s="8">
        <v>0.05</v>
      </c>
      <c r="Q7" s="8">
        <v>0.05</v>
      </c>
      <c r="R7" s="8">
        <v>0.05</v>
      </c>
      <c r="S7" s="8">
        <v>0.05</v>
      </c>
      <c r="T7" s="8">
        <v>0.05</v>
      </c>
      <c r="U7" s="8">
        <v>0.05</v>
      </c>
      <c r="V7" s="8">
        <v>0.05</v>
      </c>
      <c r="W7" s="8">
        <v>0.05</v>
      </c>
      <c r="X7" s="8">
        <v>0.05</v>
      </c>
      <c r="Y7" s="8"/>
      <c r="Z7" s="8"/>
      <c r="AA7" s="8"/>
      <c r="AB7" s="8"/>
      <c r="AC7" s="8"/>
    </row>
    <row r="8" spans="1:29" x14ac:dyDescent="0.25">
      <c r="A8" t="s">
        <v>18</v>
      </c>
      <c r="B8" s="8">
        <v>0.05</v>
      </c>
      <c r="C8" s="8">
        <v>0.05</v>
      </c>
      <c r="D8" s="8">
        <v>0.05</v>
      </c>
      <c r="E8" s="8">
        <v>0.05</v>
      </c>
      <c r="F8" s="8">
        <v>0.05</v>
      </c>
      <c r="G8" s="8">
        <v>0.05</v>
      </c>
      <c r="H8" s="8">
        <v>0.05</v>
      </c>
      <c r="I8" s="8">
        <v>0.05</v>
      </c>
      <c r="J8" s="8">
        <v>0.05</v>
      </c>
      <c r="K8" s="8">
        <v>0.05</v>
      </c>
      <c r="L8" s="8">
        <v>0.05</v>
      </c>
      <c r="M8" s="8">
        <v>0.05</v>
      </c>
      <c r="N8" s="8">
        <v>0.05</v>
      </c>
      <c r="O8" s="8">
        <v>0.05</v>
      </c>
      <c r="P8" s="8">
        <v>0.05</v>
      </c>
      <c r="Q8" s="8">
        <v>0.05</v>
      </c>
      <c r="R8" s="8">
        <v>0.05</v>
      </c>
      <c r="S8" s="8">
        <v>0.05</v>
      </c>
      <c r="T8" s="8">
        <v>0.05</v>
      </c>
      <c r="U8" s="8">
        <v>0.05</v>
      </c>
      <c r="V8" s="8">
        <v>0.05</v>
      </c>
      <c r="W8" s="8">
        <v>0.05</v>
      </c>
      <c r="X8" s="8">
        <v>0.05</v>
      </c>
      <c r="Y8" s="8"/>
      <c r="Z8" s="8"/>
      <c r="AA8" s="8"/>
      <c r="AB8" s="8"/>
      <c r="AC8" s="8"/>
    </row>
    <row r="9" spans="1:29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5">
      <c r="A10" t="s">
        <v>21</v>
      </c>
      <c r="B10" s="8">
        <f>B8+B7+B6</f>
        <v>1.1000000000000001</v>
      </c>
      <c r="C10" s="8">
        <f t="shared" ref="C10:X10" si="15">C8+C7+C6</f>
        <v>0.96602562491683674</v>
      </c>
      <c r="D10" s="8">
        <f t="shared" si="15"/>
        <v>1.1000000000000001</v>
      </c>
      <c r="E10" s="8">
        <f t="shared" si="15"/>
        <v>0.96602562491683674</v>
      </c>
      <c r="F10" s="8">
        <f t="shared" si="15"/>
        <v>1.1000000000000001</v>
      </c>
      <c r="G10" s="8">
        <f t="shared" si="15"/>
        <v>0.96602562491683674</v>
      </c>
      <c r="H10" s="8">
        <f t="shared" si="15"/>
        <v>1.1000000000000001</v>
      </c>
      <c r="I10" s="8">
        <f t="shared" si="15"/>
        <v>0.96602562491683674</v>
      </c>
      <c r="J10" s="8">
        <f t="shared" si="15"/>
        <v>1.1000000000000001</v>
      </c>
      <c r="K10" s="8">
        <f t="shared" si="15"/>
        <v>0.96602562491683674</v>
      </c>
      <c r="L10" s="8">
        <f t="shared" si="15"/>
        <v>0.96602562491683674</v>
      </c>
      <c r="M10" s="8">
        <f t="shared" si="15"/>
        <v>0.96602562491683674</v>
      </c>
      <c r="N10" s="8">
        <f t="shared" si="15"/>
        <v>0.96602562491683674</v>
      </c>
      <c r="O10" s="8">
        <f t="shared" si="15"/>
        <v>0.96602562491683674</v>
      </c>
      <c r="P10" s="8">
        <f t="shared" si="15"/>
        <v>0.96602562491683674</v>
      </c>
      <c r="Q10" s="8">
        <f t="shared" si="15"/>
        <v>0.96602562491683674</v>
      </c>
      <c r="R10" s="8">
        <f t="shared" si="15"/>
        <v>0.96602562491683674</v>
      </c>
      <c r="S10" s="8">
        <f t="shared" si="15"/>
        <v>0.96602562491683674</v>
      </c>
      <c r="T10" s="8">
        <f t="shared" si="15"/>
        <v>0.96602562491683674</v>
      </c>
      <c r="U10" s="8">
        <f t="shared" si="15"/>
        <v>0.96602562491683674</v>
      </c>
      <c r="V10" s="8">
        <f t="shared" si="15"/>
        <v>0.96602562491683674</v>
      </c>
      <c r="W10" s="8">
        <f t="shared" si="15"/>
        <v>0.96602562491683674</v>
      </c>
      <c r="X10" s="8">
        <f t="shared" si="15"/>
        <v>0.96602562491683674</v>
      </c>
      <c r="Y10" s="8"/>
      <c r="Z10" s="8"/>
      <c r="AA10" s="8"/>
      <c r="AB10" s="8"/>
      <c r="AC10" s="8"/>
    </row>
    <row r="11" spans="1:29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5">
      <c r="A14" t="s">
        <v>20</v>
      </c>
      <c r="B14" s="9">
        <v>123</v>
      </c>
      <c r="C14" s="9">
        <v>116</v>
      </c>
      <c r="D14" s="9">
        <v>110</v>
      </c>
      <c r="E14" s="9">
        <v>103</v>
      </c>
      <c r="F14" s="9">
        <v>97</v>
      </c>
      <c r="G14" s="9">
        <v>91</v>
      </c>
      <c r="H14" s="9">
        <v>86</v>
      </c>
      <c r="I14" s="9">
        <v>81</v>
      </c>
      <c r="J14" s="9">
        <v>76</v>
      </c>
      <c r="K14" s="9">
        <v>71</v>
      </c>
      <c r="L14" s="9">
        <v>66</v>
      </c>
      <c r="M14" s="9">
        <v>62</v>
      </c>
      <c r="N14" s="9">
        <v>58</v>
      </c>
      <c r="O14" s="9">
        <v>55</v>
      </c>
      <c r="P14" s="9">
        <v>51</v>
      </c>
      <c r="Q14" s="9">
        <v>48</v>
      </c>
      <c r="R14" s="9">
        <v>46</v>
      </c>
      <c r="S14" s="9">
        <v>43</v>
      </c>
      <c r="T14" s="9">
        <v>42</v>
      </c>
      <c r="U14" s="9">
        <v>40</v>
      </c>
      <c r="V14" s="9">
        <v>39</v>
      </c>
      <c r="W14" s="9">
        <v>38</v>
      </c>
      <c r="X14" s="9">
        <v>38</v>
      </c>
      <c r="Y14" s="8"/>
      <c r="Z14" s="8"/>
      <c r="AA14" s="8"/>
      <c r="AB14" s="8"/>
      <c r="AC14" s="8"/>
    </row>
    <row r="15" spans="1:29" x14ac:dyDescent="0.25">
      <c r="A15" t="s">
        <v>24</v>
      </c>
      <c r="B15" s="8">
        <f>B14*0.99</f>
        <v>121.77</v>
      </c>
      <c r="C15" s="8">
        <f t="shared" ref="C15:X15" si="16">C14*0.99</f>
        <v>114.84</v>
      </c>
      <c r="D15" s="8">
        <f t="shared" si="16"/>
        <v>108.9</v>
      </c>
      <c r="E15" s="8">
        <f t="shared" si="16"/>
        <v>101.97</v>
      </c>
      <c r="F15" s="8">
        <f t="shared" si="16"/>
        <v>96.03</v>
      </c>
      <c r="G15" s="8">
        <f t="shared" si="16"/>
        <v>90.09</v>
      </c>
      <c r="H15" s="8">
        <f t="shared" si="16"/>
        <v>85.14</v>
      </c>
      <c r="I15" s="8">
        <f t="shared" si="16"/>
        <v>80.19</v>
      </c>
      <c r="J15" s="8">
        <f t="shared" si="16"/>
        <v>75.239999999999995</v>
      </c>
      <c r="K15" s="8">
        <f t="shared" si="16"/>
        <v>70.290000000000006</v>
      </c>
      <c r="L15" s="8">
        <f t="shared" si="16"/>
        <v>65.34</v>
      </c>
      <c r="M15" s="8">
        <f t="shared" si="16"/>
        <v>61.38</v>
      </c>
      <c r="N15" s="8">
        <f t="shared" si="16"/>
        <v>57.42</v>
      </c>
      <c r="O15" s="8">
        <f t="shared" si="16"/>
        <v>54.45</v>
      </c>
      <c r="P15" s="8">
        <f t="shared" si="16"/>
        <v>50.49</v>
      </c>
      <c r="Q15" s="8">
        <f t="shared" si="16"/>
        <v>47.519999999999996</v>
      </c>
      <c r="R15" s="8">
        <f t="shared" si="16"/>
        <v>45.54</v>
      </c>
      <c r="S15" s="8">
        <f t="shared" si="16"/>
        <v>42.57</v>
      </c>
      <c r="T15" s="8">
        <f t="shared" si="16"/>
        <v>41.58</v>
      </c>
      <c r="U15" s="8">
        <f t="shared" si="16"/>
        <v>39.6</v>
      </c>
      <c r="V15" s="8">
        <f t="shared" si="16"/>
        <v>38.61</v>
      </c>
      <c r="W15" s="8">
        <f t="shared" si="16"/>
        <v>37.619999999999997</v>
      </c>
      <c r="X15" s="8">
        <f t="shared" si="16"/>
        <v>37.619999999999997</v>
      </c>
      <c r="Y15" s="8"/>
      <c r="Z15" s="8"/>
      <c r="AA15" s="8"/>
      <c r="AB15" s="8"/>
      <c r="AC15" s="8"/>
    </row>
    <row r="16" spans="1:29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5">
      <c r="A18" t="s">
        <v>23</v>
      </c>
      <c r="B18" s="10">
        <f>B15/B10</f>
        <v>110.69999999999999</v>
      </c>
      <c r="C18" s="10">
        <f t="shared" ref="C18:X18" si="17">C15/C10</f>
        <v>118.87883409913309</v>
      </c>
      <c r="D18" s="10">
        <f t="shared" si="17"/>
        <v>99</v>
      </c>
      <c r="E18" s="10">
        <f t="shared" si="17"/>
        <v>105.55620613974747</v>
      </c>
      <c r="F18" s="10">
        <f t="shared" si="17"/>
        <v>87.3</v>
      </c>
      <c r="G18" s="10">
        <f t="shared" si="17"/>
        <v>93.258395715699237</v>
      </c>
      <c r="H18" s="10">
        <f t="shared" si="17"/>
        <v>77.399999999999991</v>
      </c>
      <c r="I18" s="10">
        <f t="shared" si="17"/>
        <v>83.010220362325683</v>
      </c>
      <c r="J18" s="10">
        <f t="shared" si="17"/>
        <v>68.399999999999991</v>
      </c>
      <c r="K18" s="10">
        <f t="shared" si="17"/>
        <v>72.762045008952157</v>
      </c>
      <c r="L18" s="10">
        <f t="shared" si="17"/>
        <v>67.637957332265373</v>
      </c>
      <c r="M18" s="10">
        <f t="shared" si="17"/>
        <v>63.538687190915965</v>
      </c>
      <c r="N18" s="10">
        <f t="shared" si="17"/>
        <v>59.439417049566543</v>
      </c>
      <c r="O18" s="10">
        <f t="shared" si="17"/>
        <v>56.364964443554484</v>
      </c>
      <c r="P18" s="10">
        <f t="shared" si="17"/>
        <v>52.265694302205063</v>
      </c>
      <c r="Q18" s="10">
        <f t="shared" si="17"/>
        <v>49.191241696192996</v>
      </c>
      <c r="R18" s="10">
        <f t="shared" si="17"/>
        <v>47.141606625518293</v>
      </c>
      <c r="S18" s="10">
        <f t="shared" si="17"/>
        <v>44.067154019506233</v>
      </c>
      <c r="T18" s="10">
        <f t="shared" si="17"/>
        <v>43.042336484168871</v>
      </c>
      <c r="U18" s="10">
        <f t="shared" si="17"/>
        <v>40.992701413494167</v>
      </c>
      <c r="V18" s="10">
        <f t="shared" si="17"/>
        <v>39.967883878156812</v>
      </c>
      <c r="W18" s="10">
        <f t="shared" si="17"/>
        <v>38.943066342819456</v>
      </c>
      <c r="X18" s="10">
        <f t="shared" si="17"/>
        <v>38.943066342819456</v>
      </c>
      <c r="Y18" s="8"/>
      <c r="Z18" s="8"/>
      <c r="AA18" s="8"/>
      <c r="AB18" s="8"/>
      <c r="AC18" s="8"/>
    </row>
    <row r="38" spans="2:24" x14ac:dyDescent="0.25">
      <c r="B38" s="9">
        <v>123</v>
      </c>
      <c r="C38" s="9">
        <v>110</v>
      </c>
      <c r="D38" s="9">
        <v>97</v>
      </c>
      <c r="E38" s="9">
        <v>86</v>
      </c>
      <c r="F38" s="9">
        <v>76</v>
      </c>
      <c r="G38" s="9">
        <v>66</v>
      </c>
      <c r="H38" s="9">
        <v>58</v>
      </c>
      <c r="I38" s="9">
        <v>51</v>
      </c>
      <c r="J38" s="9">
        <v>46</v>
      </c>
      <c r="K38" s="9">
        <v>42</v>
      </c>
      <c r="L38" s="9">
        <v>39</v>
      </c>
      <c r="M38" s="9">
        <v>38</v>
      </c>
      <c r="N38" s="9">
        <v>116</v>
      </c>
      <c r="O38" s="9">
        <v>103</v>
      </c>
      <c r="P38" s="9">
        <v>91</v>
      </c>
      <c r="Q38" s="9">
        <v>81</v>
      </c>
      <c r="R38" s="9">
        <v>71</v>
      </c>
      <c r="S38" s="9">
        <v>62</v>
      </c>
      <c r="T38" s="9">
        <v>55</v>
      </c>
      <c r="U38" s="9">
        <v>48</v>
      </c>
      <c r="V38" s="9">
        <v>43</v>
      </c>
      <c r="W38" s="9">
        <v>40</v>
      </c>
      <c r="X38" s="9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2026-03-13T12:17:58Z</dcterms:created>
  <dcterms:modified xsi:type="dcterms:W3CDTF">2026-04-13T07:02:04Z</dcterms:modified>
</cp:coreProperties>
</file>